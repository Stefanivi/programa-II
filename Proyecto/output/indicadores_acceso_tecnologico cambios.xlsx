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ivilleda/Desktop/Programación II/Proyecto/programa-II/Proyecto/output/"/>
    </mc:Choice>
  </mc:AlternateContent>
  <xr:revisionPtr revIDLastSave="0" documentId="13_ncr:1_{1A364D7B-5BC5-604A-9CBA-17BD3C7B0956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indicadores_basicos" sheetId="1" r:id="rId1"/>
    <sheet name="diccionario_vari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9" i="1" l="1"/>
  <c r="J28" i="1"/>
  <c r="J30" i="1" s="1"/>
  <c r="H29" i="1"/>
  <c r="G29" i="1"/>
  <c r="F29" i="1"/>
  <c r="H28" i="1"/>
  <c r="G28" i="1"/>
  <c r="F28" i="1"/>
  <c r="E29" i="1"/>
  <c r="D29" i="1"/>
  <c r="C29" i="1"/>
  <c r="B29" i="1"/>
  <c r="E28" i="1"/>
  <c r="D28" i="1"/>
  <c r="C28" i="1"/>
  <c r="B28" i="1"/>
  <c r="B30" i="1" s="1"/>
  <c r="G30" i="1" l="1"/>
  <c r="H30" i="1"/>
  <c r="F30" i="1"/>
  <c r="C30" i="1"/>
  <c r="D30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Stefani Villeda</author>
  </authors>
  <commentList>
    <comment ref="B1" authorId="0" shapeId="0" xr:uid="{CCBA4751-0619-2740-A3C7-29995EEF48C4}">
      <text>
        <r>
          <rPr>
            <b/>
            <sz val="10"/>
            <color rgb="FF000000"/>
            <rFont val="Tahoma"/>
            <family val="2"/>
          </rPr>
          <t>Stefani Villeda: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por cada 100 habitantes</t>
        </r>
      </text>
    </comment>
    <comment ref="C1" authorId="0" shapeId="0" xr:uid="{6D33F9FF-A80B-C948-A21E-346E459D4BD5}">
      <text>
        <r>
          <rPr>
            <b/>
            <sz val="10"/>
            <color rgb="FF000000"/>
            <rFont val="Tahoma"/>
            <family val="2"/>
          </rPr>
          <t>Stefani Villeda: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pendiente</t>
        </r>
      </text>
    </comment>
    <comment ref="H1" authorId="0" shapeId="0" xr:uid="{4EAF7E30-6F28-2E47-A074-3B251A7A37B5}">
      <text>
        <r>
          <rPr>
            <b/>
            <sz val="10"/>
            <color rgb="FF000000"/>
            <rFont val="Tahoma"/>
            <family val="2"/>
          </rPr>
          <t>Stefani Villeda: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radiobase por cada 100,000 habitantes</t>
        </r>
      </text>
    </comment>
    <comment ref="I1" authorId="0" shapeId="0" xr:uid="{38A12CE7-2052-774B-B8BE-2E77B12EA413}">
      <text>
        <r>
          <rPr>
            <b/>
            <sz val="10"/>
            <color rgb="FF000000"/>
            <rFont val="Tahoma"/>
            <family val="2"/>
          </rPr>
          <t>Stefani Villeda: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por cada 1000 habitantes</t>
        </r>
      </text>
    </comment>
  </commentList>
</comments>
</file>

<file path=xl/sharedStrings.xml><?xml version="1.0" encoding="utf-8"?>
<sst xmlns="http://schemas.openxmlformats.org/spreadsheetml/2006/main" count="36" uniqueCount="27">
  <si>
    <t>depto</t>
  </si>
  <si>
    <t>var_uso_cel</t>
  </si>
  <si>
    <t>var_uso_intern</t>
  </si>
  <si>
    <t>var_uso_intern_mujeres</t>
  </si>
  <si>
    <t>var_uso_acceso_tel_mov</t>
  </si>
  <si>
    <t>pct_rural</t>
  </si>
  <si>
    <t>propor_hogares_internet</t>
  </si>
  <si>
    <t>propor_hogares_computadora</t>
  </si>
  <si>
    <t>pct_radiobases</t>
  </si>
  <si>
    <t>pct_lineas_fijas</t>
  </si>
  <si>
    <t>variable</t>
  </si>
  <si>
    <t>descripcion</t>
  </si>
  <si>
    <t>Departamento</t>
  </si>
  <si>
    <t>Proporción de personas que usan teléfono celular por departamento</t>
  </si>
  <si>
    <t>Proporción de personas que usan internet por departamento</t>
  </si>
  <si>
    <t>Proporción de mujeres que usan internet por departamento</t>
  </si>
  <si>
    <t>Proporción de personas con acceso a teléfono móvil por departamento</t>
  </si>
  <si>
    <t>Porcentaje de población rural por departamento</t>
  </si>
  <si>
    <t>Proporción de hogares con acceso a internet por departamento</t>
  </si>
  <si>
    <t>Proporción de hogares con computadora por departamento</t>
  </si>
  <si>
    <t>Proporción de radiobases por cada 1000 habitantes (línea móvil) por departamento</t>
  </si>
  <si>
    <t>Proporción de líneas fijas por departamento</t>
  </si>
  <si>
    <t>upper OCDE</t>
  </si>
  <si>
    <t>upper ALC</t>
  </si>
  <si>
    <t>densidad_radiobases</t>
  </si>
  <si>
    <t xml:space="preserve">lower </t>
  </si>
  <si>
    <t>PIIB_per_capita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</si>
</sst>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.0_-;\-* #,##0.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3" fontId="0" fillId="0" borderId="0" xfId="1" applyFont="1"/>
    <xf numFmtId="168" fontId="0" fillId="0" borderId="0" xfId="1" applyNumberFormat="1" applyFont="1"/>
    <xf numFmtId="0" fontId="1" fillId="0" borderId="1" xfId="0" applyFont="1" applyBorder="1"/>
    <xf numFmtId="43" fontId="0" fillId="0" borderId="2" xfId="1" applyFont="1" applyBorder="1"/>
    <xf numFmtId="168" fontId="0" fillId="0" borderId="2" xfId="1" applyNumberFormat="1" applyFont="1" applyBorder="1"/>
    <xf numFmtId="43" fontId="0" fillId="0" borderId="3" xfId="1" applyFont="1" applyBorder="1"/>
    <xf numFmtId="0" fontId="0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68" fontId="1" fillId="0" borderId="5" xfId="1" applyNumberFormat="1" applyFont="1" applyBorder="1" applyAlignment="1">
      <alignment horizontal="center"/>
    </xf>
    <xf numFmtId="168" fontId="1" fillId="0" borderId="6" xfId="1" applyNumberFormat="1" applyFont="1" applyBorder="1"/>
    <xf numFmtId="0" fontId="0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8" fontId="1" fillId="0" borderId="8" xfId="1" applyNumberFormat="1" applyFont="1" applyBorder="1" applyAlignment="1">
      <alignment horizontal="center"/>
    </xf>
    <xf numFmtId="168" fontId="1" fillId="0" borderId="9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118" workbookViewId="0">
      <selection activeCell="G20" sqref="G20"/>
    </sheetView>
  </sheetViews>
  <sheetFormatPr baseColWidth="10" defaultColWidth="8.83203125" defaultRowHeight="15" x14ac:dyDescent="0.2"/>
  <cols>
    <col min="1" max="1" width="10.33203125" bestFit="1" customWidth="1"/>
    <col min="2" max="2" width="13.1640625" bestFit="1" customWidth="1"/>
    <col min="3" max="3" width="20.6640625" bestFit="1" customWidth="1"/>
    <col min="4" max="4" width="21.33203125" bestFit="1" customWidth="1"/>
    <col min="5" max="5" width="8.33203125" bestFit="1" customWidth="1"/>
    <col min="6" max="6" width="21.6640625" bestFit="1" customWidth="1"/>
    <col min="7" max="7" width="26.1640625" bestFit="1" customWidth="1"/>
    <col min="8" max="8" width="20" customWidth="1"/>
    <col min="9" max="9" width="13.1640625" bestFit="1" customWidth="1"/>
    <col min="10" max="10" width="12" customWidth="1"/>
  </cols>
  <sheetData>
    <row r="1" spans="1:10" s="1" customFormat="1" x14ac:dyDescent="0.2">
      <c r="A1" s="1" t="s">
        <v>0</v>
      </c>
      <c r="B1" s="3" t="s">
        <v>2</v>
      </c>
      <c r="C1" s="5" t="s">
        <v>3</v>
      </c>
      <c r="D1" s="1" t="s">
        <v>4</v>
      </c>
      <c r="E1" s="1" t="s">
        <v>5</v>
      </c>
      <c r="F1" s="4" t="s">
        <v>6</v>
      </c>
      <c r="G1" s="4" t="s">
        <v>7</v>
      </c>
      <c r="H1" s="4" t="s">
        <v>24</v>
      </c>
      <c r="I1" s="3" t="s">
        <v>9</v>
      </c>
      <c r="J1" s="1" t="s">
        <v>26</v>
      </c>
    </row>
    <row r="2" spans="1:10" s="1" customFormat="1" x14ac:dyDescent="0.2">
      <c r="A2" s="12" t="s">
        <v>22</v>
      </c>
      <c r="B2" s="13">
        <v>93</v>
      </c>
      <c r="C2" s="13">
        <v>91</v>
      </c>
      <c r="D2" s="13">
        <v>94.39</v>
      </c>
      <c r="E2" s="13">
        <v>15</v>
      </c>
      <c r="F2" s="14">
        <v>90.32</v>
      </c>
      <c r="G2" s="14">
        <v>80.8</v>
      </c>
      <c r="H2" s="14">
        <v>136.16</v>
      </c>
      <c r="I2" s="15">
        <v>404.86327950600662</v>
      </c>
      <c r="J2" s="16">
        <v>14654.86531187161</v>
      </c>
    </row>
    <row r="3" spans="1:10" s="1" customFormat="1" x14ac:dyDescent="0.2">
      <c r="A3" s="17" t="s">
        <v>23</v>
      </c>
      <c r="B3" s="18">
        <v>77</v>
      </c>
      <c r="C3" s="18">
        <v>72</v>
      </c>
      <c r="D3" s="18">
        <v>83.4</v>
      </c>
      <c r="E3" s="18">
        <v>18.2</v>
      </c>
      <c r="F3" s="19">
        <v>66.2</v>
      </c>
      <c r="G3" s="19">
        <v>42.91</v>
      </c>
      <c r="H3" s="19">
        <v>79.430000000000007</v>
      </c>
      <c r="I3" s="20">
        <v>404.86327950600662</v>
      </c>
      <c r="J3" s="21">
        <v>14654.86531187161</v>
      </c>
    </row>
    <row r="4" spans="1:10" x14ac:dyDescent="0.2">
      <c r="A4">
        <v>1</v>
      </c>
      <c r="B4">
        <v>56.4</v>
      </c>
      <c r="C4">
        <v>30.73</v>
      </c>
      <c r="D4">
        <v>69.2</v>
      </c>
      <c r="E4">
        <v>10.24</v>
      </c>
      <c r="F4">
        <v>36.880000000000003</v>
      </c>
      <c r="G4">
        <v>36.67</v>
      </c>
      <c r="H4" s="7">
        <v>167.7049777112282</v>
      </c>
      <c r="I4" s="7">
        <v>404.86327950600662</v>
      </c>
      <c r="J4" s="7">
        <v>14654.86531187161</v>
      </c>
    </row>
    <row r="5" spans="1:10" x14ac:dyDescent="0.2">
      <c r="A5">
        <v>2</v>
      </c>
      <c r="B5">
        <v>44.76</v>
      </c>
      <c r="C5">
        <v>23.04</v>
      </c>
      <c r="D5">
        <v>58.52</v>
      </c>
      <c r="E5">
        <v>44.4</v>
      </c>
      <c r="F5">
        <v>15.49</v>
      </c>
      <c r="G5">
        <v>13.53</v>
      </c>
      <c r="H5" s="7">
        <v>168.09112468705089</v>
      </c>
      <c r="I5" s="7">
        <v>47.969449057216998</v>
      </c>
      <c r="J5" s="7">
        <v>5502.5833595994081</v>
      </c>
    </row>
    <row r="6" spans="1:10" x14ac:dyDescent="0.2">
      <c r="A6">
        <v>3</v>
      </c>
      <c r="B6">
        <v>47.32</v>
      </c>
      <c r="C6">
        <v>22.53</v>
      </c>
      <c r="D6">
        <v>66.05</v>
      </c>
      <c r="E6">
        <v>12.8</v>
      </c>
      <c r="F6">
        <v>15.62</v>
      </c>
      <c r="G6">
        <v>29.89</v>
      </c>
      <c r="H6" s="7">
        <v>133.17795904777759</v>
      </c>
      <c r="I6" s="7">
        <v>54.607859458083219</v>
      </c>
      <c r="J6" s="7">
        <v>6413.809557371761</v>
      </c>
    </row>
    <row r="7" spans="1:10" x14ac:dyDescent="0.2">
      <c r="A7">
        <v>4</v>
      </c>
      <c r="B7">
        <v>36.799999999999997</v>
      </c>
      <c r="C7">
        <v>18.809999999999999</v>
      </c>
      <c r="D7">
        <v>55.73</v>
      </c>
      <c r="E7">
        <v>50.26</v>
      </c>
      <c r="F7">
        <v>17.28</v>
      </c>
      <c r="G7">
        <v>14.9</v>
      </c>
      <c r="H7" s="7">
        <v>75.27008486993563</v>
      </c>
      <c r="I7" s="7">
        <v>18.812339111812999</v>
      </c>
      <c r="J7" s="7">
        <v>2841.710966594324</v>
      </c>
    </row>
    <row r="8" spans="1:10" x14ac:dyDescent="0.2">
      <c r="A8">
        <v>5</v>
      </c>
      <c r="B8">
        <v>47.95</v>
      </c>
      <c r="C8">
        <v>25.4</v>
      </c>
      <c r="D8">
        <v>59.28</v>
      </c>
      <c r="E8">
        <v>42.99</v>
      </c>
      <c r="F8">
        <v>16.350000000000001</v>
      </c>
      <c r="G8">
        <v>11.85</v>
      </c>
      <c r="H8" s="7">
        <v>130.9968385934412</v>
      </c>
      <c r="I8" s="7">
        <v>30.043074771392909</v>
      </c>
      <c r="J8" s="7">
        <v>10861.05517605828</v>
      </c>
    </row>
    <row r="9" spans="1:10" x14ac:dyDescent="0.2">
      <c r="A9">
        <v>6</v>
      </c>
      <c r="B9">
        <v>44.69</v>
      </c>
      <c r="C9">
        <v>21.98</v>
      </c>
      <c r="D9">
        <v>58.33</v>
      </c>
      <c r="E9">
        <v>54.36</v>
      </c>
      <c r="F9">
        <v>17.95</v>
      </c>
      <c r="G9">
        <v>6.91</v>
      </c>
      <c r="H9" s="7">
        <v>133.50024511520411</v>
      </c>
      <c r="I9" s="7">
        <v>21.567949436235029</v>
      </c>
      <c r="J9" s="7">
        <v>4447.2811944283394</v>
      </c>
    </row>
    <row r="10" spans="1:10" x14ac:dyDescent="0.2">
      <c r="A10">
        <v>7</v>
      </c>
      <c r="B10">
        <v>35.840000000000003</v>
      </c>
      <c r="C10">
        <v>17.82</v>
      </c>
      <c r="D10">
        <v>53.3</v>
      </c>
      <c r="E10">
        <v>35.299999999999997</v>
      </c>
      <c r="F10">
        <v>21.05</v>
      </c>
      <c r="G10">
        <v>17.03</v>
      </c>
      <c r="H10" s="7">
        <v>78.088812189233167</v>
      </c>
      <c r="I10" s="7">
        <v>20.305140744323701</v>
      </c>
      <c r="J10" s="7">
        <v>3253.97911654683</v>
      </c>
    </row>
    <row r="11" spans="1:10" x14ac:dyDescent="0.2">
      <c r="A11">
        <v>8</v>
      </c>
      <c r="B11">
        <v>32.520000000000003</v>
      </c>
      <c r="C11">
        <v>16.309999999999999</v>
      </c>
      <c r="D11">
        <v>48.51</v>
      </c>
      <c r="E11">
        <v>50.41</v>
      </c>
      <c r="F11">
        <v>17.02</v>
      </c>
      <c r="G11">
        <v>13.58</v>
      </c>
      <c r="H11" s="7">
        <v>67.335426900699929</v>
      </c>
      <c r="I11" s="7">
        <v>24.892450359811381</v>
      </c>
      <c r="J11" s="7">
        <v>3705.3634024380449</v>
      </c>
    </row>
    <row r="12" spans="1:10" x14ac:dyDescent="0.2">
      <c r="A12">
        <v>9</v>
      </c>
      <c r="B12">
        <v>44.65</v>
      </c>
      <c r="C12">
        <v>23.89</v>
      </c>
      <c r="D12">
        <v>58.31</v>
      </c>
      <c r="E12">
        <v>43.76</v>
      </c>
      <c r="F12">
        <v>25.74</v>
      </c>
      <c r="G12">
        <v>19.77</v>
      </c>
      <c r="H12" s="7">
        <v>116.4051111455224</v>
      </c>
      <c r="I12" s="7">
        <v>154.42472914452921</v>
      </c>
      <c r="J12" s="7">
        <v>7089.6459617951687</v>
      </c>
    </row>
    <row r="13" spans="1:10" x14ac:dyDescent="0.2">
      <c r="A13">
        <v>10</v>
      </c>
      <c r="B13">
        <v>39.049999999999997</v>
      </c>
      <c r="C13">
        <v>19.04</v>
      </c>
      <c r="D13">
        <v>52.36</v>
      </c>
      <c r="E13">
        <v>50.69</v>
      </c>
      <c r="F13">
        <v>12.35</v>
      </c>
      <c r="G13">
        <v>10.19</v>
      </c>
      <c r="H13" s="7">
        <v>103.7644132760979</v>
      </c>
      <c r="I13" s="7">
        <v>23.163409794402789</v>
      </c>
      <c r="J13" s="7">
        <v>4277.2875928465764</v>
      </c>
    </row>
    <row r="14" spans="1:10" x14ac:dyDescent="0.2">
      <c r="A14">
        <v>11</v>
      </c>
      <c r="B14">
        <v>38.979999999999997</v>
      </c>
      <c r="C14">
        <v>19.53</v>
      </c>
      <c r="D14">
        <v>55.3</v>
      </c>
      <c r="E14">
        <v>47.41</v>
      </c>
      <c r="F14">
        <v>13.36</v>
      </c>
      <c r="G14">
        <v>10.97</v>
      </c>
      <c r="H14" s="7">
        <v>117.3784783715934</v>
      </c>
      <c r="I14" s="7">
        <v>27.741653588704779</v>
      </c>
      <c r="J14" s="7">
        <v>5334.3289282319183</v>
      </c>
    </row>
    <row r="15" spans="1:10" x14ac:dyDescent="0.2">
      <c r="A15">
        <v>12</v>
      </c>
      <c r="B15">
        <v>36.119999999999997</v>
      </c>
      <c r="C15">
        <v>19.690000000000001</v>
      </c>
      <c r="D15">
        <v>50.81</v>
      </c>
      <c r="E15">
        <v>75.36</v>
      </c>
      <c r="F15">
        <v>11.71</v>
      </c>
      <c r="G15">
        <v>10.95</v>
      </c>
      <c r="H15" s="7">
        <v>80.706422415943067</v>
      </c>
      <c r="I15" s="7">
        <v>17.042383546029239</v>
      </c>
      <c r="J15" s="7">
        <v>4681.3897633864817</v>
      </c>
    </row>
    <row r="16" spans="1:10" x14ac:dyDescent="0.2">
      <c r="A16">
        <v>13</v>
      </c>
      <c r="B16">
        <v>32.69</v>
      </c>
      <c r="C16">
        <v>17.39</v>
      </c>
      <c r="D16">
        <v>49.35</v>
      </c>
      <c r="E16">
        <v>64.52</v>
      </c>
      <c r="F16">
        <v>15.5</v>
      </c>
      <c r="G16">
        <v>12.22</v>
      </c>
      <c r="H16" s="7">
        <v>81.842121732934714</v>
      </c>
      <c r="I16" s="7">
        <v>16.085759539593361</v>
      </c>
      <c r="J16" s="7">
        <v>2860.3775419277249</v>
      </c>
    </row>
    <row r="17" spans="1:10" x14ac:dyDescent="0.2">
      <c r="A17">
        <v>14</v>
      </c>
      <c r="B17">
        <v>27.64</v>
      </c>
      <c r="C17">
        <v>14.43</v>
      </c>
      <c r="D17">
        <v>46.65</v>
      </c>
      <c r="E17">
        <v>63.33</v>
      </c>
      <c r="F17">
        <v>8.48</v>
      </c>
      <c r="G17">
        <v>8.49</v>
      </c>
      <c r="H17" s="7">
        <v>67.713334971078893</v>
      </c>
      <c r="I17" s="7">
        <v>8.3739419791410761</v>
      </c>
      <c r="J17" s="7">
        <v>2601.343610276273</v>
      </c>
    </row>
    <row r="18" spans="1:10" x14ac:dyDescent="0.2">
      <c r="A18">
        <v>15</v>
      </c>
      <c r="B18">
        <v>29.8</v>
      </c>
      <c r="C18">
        <v>16.079999999999998</v>
      </c>
      <c r="D18">
        <v>50.71</v>
      </c>
      <c r="E18">
        <v>65.260000000000005</v>
      </c>
      <c r="F18">
        <v>10.07</v>
      </c>
      <c r="G18">
        <v>14.64</v>
      </c>
      <c r="H18" s="7">
        <v>88.494291392842129</v>
      </c>
      <c r="I18" s="7">
        <v>14.324469396933161</v>
      </c>
      <c r="J18" s="7">
        <v>2997.2282568044861</v>
      </c>
    </row>
    <row r="19" spans="1:10" x14ac:dyDescent="0.2">
      <c r="A19">
        <v>16</v>
      </c>
      <c r="B19">
        <v>21.62</v>
      </c>
      <c r="C19">
        <v>9.25</v>
      </c>
      <c r="D19">
        <v>37.58</v>
      </c>
      <c r="E19">
        <v>69.790000000000006</v>
      </c>
      <c r="F19">
        <v>6.14</v>
      </c>
      <c r="G19">
        <v>7.36</v>
      </c>
      <c r="H19" s="7">
        <v>51.953590021499259</v>
      </c>
      <c r="I19" s="7">
        <v>8.9380074980899415</v>
      </c>
      <c r="J19" s="7">
        <v>3424.9822825369802</v>
      </c>
    </row>
    <row r="20" spans="1:10" x14ac:dyDescent="0.2">
      <c r="A20">
        <v>17</v>
      </c>
      <c r="B20">
        <v>42.63</v>
      </c>
      <c r="C20">
        <v>22.49</v>
      </c>
      <c r="D20">
        <v>52.29</v>
      </c>
      <c r="E20">
        <v>63.06</v>
      </c>
      <c r="F20">
        <v>16.350000000000001</v>
      </c>
      <c r="G20">
        <v>13.88</v>
      </c>
      <c r="H20" s="7">
        <v>127.782351351478</v>
      </c>
      <c r="I20" s="7">
        <v>18.947092170441039</v>
      </c>
      <c r="J20" s="7">
        <v>5385.8394952948338</v>
      </c>
    </row>
    <row r="21" spans="1:10" x14ac:dyDescent="0.2">
      <c r="A21">
        <v>18</v>
      </c>
      <c r="B21">
        <v>41.53</v>
      </c>
      <c r="C21">
        <v>21.34</v>
      </c>
      <c r="D21">
        <v>51.11</v>
      </c>
      <c r="E21">
        <v>63.21</v>
      </c>
      <c r="F21">
        <v>24.37</v>
      </c>
      <c r="G21">
        <v>11.15</v>
      </c>
      <c r="H21" s="7">
        <v>134.68469156769049</v>
      </c>
      <c r="I21" s="7">
        <v>45.015684108734433</v>
      </c>
      <c r="J21" s="7">
        <v>6539.4225553021897</v>
      </c>
    </row>
    <row r="22" spans="1:10" x14ac:dyDescent="0.2">
      <c r="A22">
        <v>19</v>
      </c>
      <c r="B22">
        <v>41.67</v>
      </c>
      <c r="C22">
        <v>21.28</v>
      </c>
      <c r="D22">
        <v>55.41</v>
      </c>
      <c r="E22">
        <v>57.12</v>
      </c>
      <c r="F22">
        <v>19.760000000000002</v>
      </c>
      <c r="G22">
        <v>14.71</v>
      </c>
      <c r="H22" s="7">
        <v>127.5764461986206</v>
      </c>
      <c r="I22" s="7">
        <v>49.986771192368607</v>
      </c>
      <c r="J22" s="7">
        <v>7132.5969764371694</v>
      </c>
    </row>
    <row r="23" spans="1:10" x14ac:dyDescent="0.2">
      <c r="A23">
        <v>20</v>
      </c>
      <c r="B23">
        <v>34.24</v>
      </c>
      <c r="C23">
        <v>17.23</v>
      </c>
      <c r="D23">
        <v>50.4</v>
      </c>
      <c r="E23">
        <v>64.180000000000007</v>
      </c>
      <c r="F23">
        <v>24.74</v>
      </c>
      <c r="G23">
        <v>11.23</v>
      </c>
      <c r="H23" s="7">
        <v>106.2500272156832</v>
      </c>
      <c r="I23" s="7">
        <v>27.659843150574581</v>
      </c>
      <c r="J23" s="7">
        <v>4013.8238973598141</v>
      </c>
    </row>
    <row r="24" spans="1:10" x14ac:dyDescent="0.2">
      <c r="A24">
        <v>21</v>
      </c>
      <c r="B24">
        <v>32.76</v>
      </c>
      <c r="C24">
        <v>19.16</v>
      </c>
      <c r="D24">
        <v>49.28</v>
      </c>
      <c r="E24">
        <v>42.43</v>
      </c>
      <c r="F24">
        <v>20.309999999999999</v>
      </c>
      <c r="G24">
        <v>12.89</v>
      </c>
      <c r="H24" s="7">
        <v>94.2215607922342</v>
      </c>
      <c r="I24" s="7">
        <v>21.79175585502443</v>
      </c>
      <c r="J24" s="7">
        <v>3297.504029218479</v>
      </c>
    </row>
    <row r="25" spans="1:10" x14ac:dyDescent="0.2">
      <c r="A25">
        <v>22</v>
      </c>
      <c r="B25">
        <v>44.26</v>
      </c>
      <c r="C25">
        <v>23.97</v>
      </c>
      <c r="D25">
        <v>60.09</v>
      </c>
      <c r="E25">
        <v>52.28</v>
      </c>
      <c r="F25">
        <v>21.69</v>
      </c>
      <c r="G25">
        <v>9.56</v>
      </c>
      <c r="H25" s="7">
        <v>126.782490894712</v>
      </c>
      <c r="I25" s="7">
        <v>93.563705098606633</v>
      </c>
      <c r="J25" s="7">
        <v>3875.954919188006</v>
      </c>
    </row>
    <row r="26" spans="1:10" x14ac:dyDescent="0.2">
      <c r="A26" s="2" t="s">
        <v>25</v>
      </c>
    </row>
    <row r="27" spans="1:10" x14ac:dyDescent="0.2">
      <c r="A27" s="2"/>
    </row>
    <row r="28" spans="1:10" x14ac:dyDescent="0.2">
      <c r="B28" s="6">
        <f t="shared" ref="B28:I28" si="0">MIN(B4:B25)</f>
        <v>21.62</v>
      </c>
      <c r="C28" s="6">
        <f t="shared" si="0"/>
        <v>9.25</v>
      </c>
      <c r="D28" s="6">
        <f t="shared" si="0"/>
        <v>37.58</v>
      </c>
      <c r="E28" s="6">
        <f t="shared" si="0"/>
        <v>10.24</v>
      </c>
      <c r="F28" s="6">
        <f t="shared" ref="F28:H28" si="1">MIN(F4:F25)</f>
        <v>6.14</v>
      </c>
      <c r="G28" s="6">
        <f t="shared" si="1"/>
        <v>6.91</v>
      </c>
      <c r="H28" s="6">
        <f t="shared" si="1"/>
        <v>51.953590021499259</v>
      </c>
      <c r="I28" s="6"/>
      <c r="J28" s="6">
        <f t="shared" ref="J28" si="2">MIN(J4:J25)</f>
        <v>2601.343610276273</v>
      </c>
    </row>
    <row r="29" spans="1:10" x14ac:dyDescent="0.2">
      <c r="B29" s="6">
        <f t="shared" ref="B29:I29" si="3">STDEV(B4:B25)</f>
        <v>7.8238260809820712</v>
      </c>
      <c r="C29" s="6">
        <f t="shared" si="3"/>
        <v>4.3777721952997304</v>
      </c>
      <c r="D29" s="6">
        <f t="shared" si="3"/>
        <v>6.7320008057400029</v>
      </c>
      <c r="E29" s="6">
        <f>STDEV(E4:E25)*1/2</f>
        <v>8.1779116238889742</v>
      </c>
      <c r="F29" s="6">
        <f t="shared" ref="F29:H29" si="4">STDEV(F4:F25)*1/2</f>
        <v>3.3510700704227476</v>
      </c>
      <c r="G29" s="6">
        <f t="shared" si="4"/>
        <v>3.4716735690628941</v>
      </c>
      <c r="H29" s="6">
        <f t="shared" si="4"/>
        <v>15.957653889085258</v>
      </c>
      <c r="I29" s="6"/>
      <c r="J29" s="6">
        <f t="shared" ref="J29" si="5">STDEV(J4:J25)*1/2</f>
        <v>1432.6525698165146</v>
      </c>
    </row>
    <row r="30" spans="1:10" x14ac:dyDescent="0.2">
      <c r="A30" s="8" t="s">
        <v>25</v>
      </c>
      <c r="B30" s="9">
        <f>B28-B29</f>
        <v>13.79617391901793</v>
      </c>
      <c r="C30" s="9">
        <f t="shared" ref="C30:H30" si="6">C28-C29</f>
        <v>4.8722278047002696</v>
      </c>
      <c r="D30" s="9">
        <f t="shared" si="6"/>
        <v>30.847999194259994</v>
      </c>
      <c r="E30" s="9">
        <f t="shared" si="6"/>
        <v>2.062088376111026</v>
      </c>
      <c r="F30" s="9">
        <f t="shared" si="6"/>
        <v>2.7889299295772521</v>
      </c>
      <c r="G30" s="9">
        <f t="shared" si="6"/>
        <v>3.438326430937106</v>
      </c>
      <c r="H30" s="9">
        <f t="shared" si="6"/>
        <v>35.995936132414002</v>
      </c>
      <c r="I30" s="10">
        <v>8.3739419791410761</v>
      </c>
      <c r="J30" s="11">
        <f t="shared" ref="J30" si="7">J28-J29</f>
        <v>1168.6910404597584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150" workbookViewId="0">
      <selection activeCell="B6" sqref="B6"/>
    </sheetView>
  </sheetViews>
  <sheetFormatPr baseColWidth="10" defaultColWidth="8.83203125" defaultRowHeight="15" x14ac:dyDescent="0.2"/>
  <cols>
    <col min="1" max="1" width="24.6640625" bestFit="1" customWidth="1"/>
    <col min="2" max="2" width="65" bestFit="1" customWidth="1"/>
  </cols>
  <sheetData>
    <row r="1" spans="1:2" s="1" customFormat="1" x14ac:dyDescent="0.2">
      <c r="A1" s="1" t="s">
        <v>10</v>
      </c>
      <c r="B1" s="1" t="s">
        <v>11</v>
      </c>
    </row>
    <row r="2" spans="1:2" x14ac:dyDescent="0.2">
      <c r="A2" t="s">
        <v>0</v>
      </c>
      <c r="B2" t="s">
        <v>12</v>
      </c>
    </row>
    <row r="3" spans="1:2" x14ac:dyDescent="0.2">
      <c r="A3" t="s">
        <v>1</v>
      </c>
      <c r="B3" t="s">
        <v>13</v>
      </c>
    </row>
    <row r="4" spans="1:2" x14ac:dyDescent="0.2">
      <c r="A4" t="s">
        <v>2</v>
      </c>
      <c r="B4" t="s">
        <v>14</v>
      </c>
    </row>
    <row r="5" spans="1:2" x14ac:dyDescent="0.2">
      <c r="A5" t="s">
        <v>3</v>
      </c>
      <c r="B5" t="s">
        <v>15</v>
      </c>
    </row>
    <row r="6" spans="1:2" x14ac:dyDescent="0.2">
      <c r="A6" t="s">
        <v>4</v>
      </c>
      <c r="B6" t="s">
        <v>16</v>
      </c>
    </row>
    <row r="7" spans="1:2" x14ac:dyDescent="0.2">
      <c r="A7" t="s">
        <v>5</v>
      </c>
      <c r="B7" t="s">
        <v>17</v>
      </c>
    </row>
    <row r="8" spans="1:2" x14ac:dyDescent="0.2">
      <c r="A8" t="s">
        <v>6</v>
      </c>
      <c r="B8" t="s">
        <v>18</v>
      </c>
    </row>
    <row r="9" spans="1:2" x14ac:dyDescent="0.2">
      <c r="A9" t="s">
        <v>7</v>
      </c>
      <c r="B9" t="s">
        <v>19</v>
      </c>
    </row>
    <row r="10" spans="1:2" x14ac:dyDescent="0.2">
      <c r="A10" t="s">
        <v>8</v>
      </c>
      <c r="B10" t="s">
        <v>20</v>
      </c>
    </row>
    <row r="11" spans="1:2" x14ac:dyDescent="0.2">
      <c r="A11" t="s">
        <v>9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indicadores_basicos</vt:lpstr>
      <vt:lpstr>diccionario_variables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Stefani Villeda</cp:lastModifiedBy>
  <dcterms:created xsi:type="dcterms:W3CDTF">2025-10-05T00:18:24Z</dcterms:created>
  <dcterms:modified xsi:type="dcterms:W3CDTF">2025-10-07T00:33:26Z</dcterms:modified>
</cp:coreProperties>
</file>